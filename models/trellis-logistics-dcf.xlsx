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" sheetId="1" state="visible" r:id="rId1"/>
    <sheet xmlns:r="http://schemas.openxmlformats.org/officeDocument/2006/relationships" name="Com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808080"/>
      <sz val="9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2"/>
        <bgColor rgb="001F1F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Trellis Logistics Corp (TRLS) — DCF Model</t>
        </is>
      </c>
    </row>
    <row r="2">
      <c r="A2" s="2" t="inlineStr">
        <is>
          <t>EXAMPLE / PLACEHOLDER — illustrative figures only, not real analysis.</t>
        </is>
      </c>
    </row>
    <row r="4">
      <c r="A4" s="3" t="inlineStr">
        <is>
          <t>Assumptions</t>
        </is>
      </c>
    </row>
    <row r="5">
      <c r="A5" t="inlineStr">
        <is>
          <t>Revenue growth</t>
        </is>
      </c>
      <c r="B5" t="inlineStr"/>
      <c r="C5" t="n">
        <v>0.005</v>
      </c>
      <c r="D5" t="n">
        <v>0.01</v>
      </c>
      <c r="E5" t="n">
        <v>0.015</v>
      </c>
      <c r="F5" t="n">
        <v>0.018</v>
      </c>
      <c r="G5" t="n">
        <v>0.02</v>
      </c>
      <c r="H5" t="n">
        <v>0.02</v>
      </c>
    </row>
    <row r="6">
      <c r="A6" t="inlineStr">
        <is>
          <t>EBITDA margin</t>
        </is>
      </c>
      <c r="B6" t="inlineStr"/>
      <c r="C6" t="n">
        <v>0.08</v>
      </c>
      <c r="D6" t="n">
        <v>0.082</v>
      </c>
      <c r="E6" t="n">
        <v>0.08500000000000001</v>
      </c>
      <c r="F6" t="n">
        <v>0.08799999999999999</v>
      </c>
      <c r="G6" t="n">
        <v>0.09</v>
      </c>
      <c r="H6" t="n">
        <v>0.09</v>
      </c>
    </row>
    <row r="7">
      <c r="A7" t="inlineStr">
        <is>
          <t>WACC</t>
        </is>
      </c>
      <c r="B7" t="n">
        <v>0.09</v>
      </c>
    </row>
    <row r="8">
      <c r="A8" t="inlineStr">
        <is>
          <t>Terminal growth</t>
        </is>
      </c>
      <c r="B8" t="n">
        <v>0.02</v>
      </c>
    </row>
    <row r="11">
      <c r="A11" s="4" t="inlineStr">
        <is>
          <t>Line item</t>
        </is>
      </c>
      <c r="B11" s="4" t="inlineStr">
        <is>
          <t>Year 0</t>
        </is>
      </c>
      <c r="C11" s="4" t="inlineStr">
        <is>
          <t>Year 1</t>
        </is>
      </c>
      <c r="D11" s="4" t="inlineStr">
        <is>
          <t>Year 2</t>
        </is>
      </c>
      <c r="E11" s="4" t="inlineStr">
        <is>
          <t>Year 3</t>
        </is>
      </c>
      <c r="F11" s="4" t="inlineStr">
        <is>
          <t>Year 4</t>
        </is>
      </c>
      <c r="G11" s="4" t="inlineStr">
        <is>
          <t>Year 5</t>
        </is>
      </c>
      <c r="H11" s="4" t="inlineStr">
        <is>
          <t>Terminal</t>
        </is>
      </c>
    </row>
    <row r="12">
      <c r="A12" t="inlineStr">
        <is>
          <t>Revenue ($m)</t>
        </is>
      </c>
      <c r="B12" t="n">
        <v>2450</v>
      </c>
      <c r="C12">
        <f>B12*(1+C5)</f>
        <v/>
      </c>
      <c r="D12">
        <f>C12*(1+D5)</f>
        <v/>
      </c>
      <c r="E12">
        <f>D12*(1+E5)</f>
        <v/>
      </c>
      <c r="F12">
        <f>E12*(1+F5)</f>
        <v/>
      </c>
      <c r="G12">
        <f>F12*(1+G5)</f>
        <v/>
      </c>
      <c r="H12">
        <f>G12*(1+G5)</f>
        <v/>
      </c>
    </row>
    <row r="13">
      <c r="A13" t="inlineStr">
        <is>
          <t>EBITDA ($m)</t>
        </is>
      </c>
      <c r="B13">
        <f>B12*B6</f>
        <v/>
      </c>
      <c r="C13">
        <f>C12*C6</f>
        <v/>
      </c>
      <c r="D13">
        <f>D12*D6</f>
        <v/>
      </c>
      <c r="E13">
        <f>E12*E6</f>
        <v/>
      </c>
      <c r="F13">
        <f>F12*F6</f>
        <v/>
      </c>
      <c r="G13">
        <f>G12*G6</f>
        <v/>
      </c>
      <c r="H13">
        <f>H12*H6</f>
        <v/>
      </c>
    </row>
    <row r="14">
      <c r="A14" t="inlineStr">
        <is>
          <t>Unlevered FCF ($m, illustrative ~60% EBITDA conv.)</t>
        </is>
      </c>
      <c r="B14">
        <f>B13*0.6</f>
        <v/>
      </c>
      <c r="C14">
        <f>C13*0.6</f>
        <v/>
      </c>
      <c r="D14">
        <f>D13*0.6</f>
        <v/>
      </c>
      <c r="E14">
        <f>E13*0.6</f>
        <v/>
      </c>
      <c r="F14">
        <f>F13*0.6</f>
        <v/>
      </c>
      <c r="G14">
        <f>G13*0.6</f>
        <v/>
      </c>
      <c r="H14">
        <f>H13*0.6</f>
        <v/>
      </c>
    </row>
    <row r="16">
      <c r="A16" t="inlineStr">
        <is>
          <t>Discount factor</t>
        </is>
      </c>
      <c r="B16">
        <f>1/(1+$B$7)^0</f>
        <v/>
      </c>
      <c r="C16">
        <f>1/(1+$B$7)^1</f>
        <v/>
      </c>
      <c r="D16">
        <f>1/(1+$B$7)^2</f>
        <v/>
      </c>
      <c r="E16">
        <f>1/(1+$B$7)^3</f>
        <v/>
      </c>
      <c r="F16">
        <f>1/(1+$B$7)^4</f>
        <v/>
      </c>
      <c r="G16">
        <f>1/(1+$B$7)^5</f>
        <v/>
      </c>
    </row>
    <row r="17">
      <c r="A17" t="inlineStr">
        <is>
          <t>PV of FCF ($m)</t>
        </is>
      </c>
      <c r="B17">
        <f>B14*B16</f>
        <v/>
      </c>
      <c r="C17">
        <f>C14*C16</f>
        <v/>
      </c>
      <c r="D17">
        <f>D14*D16</f>
        <v/>
      </c>
      <c r="E17">
        <f>E14*E16</f>
        <v/>
      </c>
      <c r="F17">
        <f>F14*F16</f>
        <v/>
      </c>
    </row>
    <row r="19">
      <c r="A19" t="inlineStr">
        <is>
          <t>Terminal value ($m)</t>
        </is>
      </c>
      <c r="B19">
        <f>H14/($B$7-$B$8)</f>
        <v/>
      </c>
    </row>
    <row r="20">
      <c r="A20" t="inlineStr">
        <is>
          <t>PV of terminal value ($m)</t>
        </is>
      </c>
      <c r="B20">
        <f>B19*F16</f>
        <v/>
      </c>
    </row>
    <row r="22">
      <c r="A22" s="3" t="inlineStr">
        <is>
          <t>Enterprise value ($m)</t>
        </is>
      </c>
      <c r="B22">
        <f>SUM(B17:F17)+B20</f>
        <v/>
      </c>
    </row>
    <row r="23">
      <c r="A23" t="inlineStr">
        <is>
          <t>Net debt ($m)</t>
        </is>
      </c>
      <c r="B23" t="n">
        <v>890</v>
      </c>
    </row>
    <row r="24">
      <c r="A24" t="inlineStr">
        <is>
          <t>Diluted shares (m)</t>
        </is>
      </c>
      <c r="B24" t="n">
        <v>58</v>
      </c>
    </row>
    <row r="25">
      <c r="A25" s="3" t="inlineStr">
        <is>
          <t>Implied value per share ($)</t>
        </is>
      </c>
      <c r="B25">
        <f>(B22-B23)/B24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4" customWidth="1" min="4" max="4"/>
  </cols>
  <sheetData>
    <row r="1">
      <c r="A1" s="1" t="inlineStr">
        <is>
          <t>Trading comps</t>
        </is>
      </c>
    </row>
    <row r="2">
      <c r="A2" s="2" t="inlineStr">
        <is>
          <t>EXAMPLE / PLACEHOLDER</t>
        </is>
      </c>
    </row>
    <row r="4">
      <c r="A4" s="4" t="inlineStr">
        <is>
          <t>Company</t>
        </is>
      </c>
      <c r="B4" s="4" t="inlineStr">
        <is>
          <t>EV/EBITDA (FY+1)</t>
        </is>
      </c>
      <c r="C4" s="4" t="inlineStr">
        <is>
          <t>P/E (FY+1)</t>
        </is>
      </c>
      <c r="D4" s="4" t="inlineStr">
        <is>
          <t>Rev. growth</t>
        </is>
      </c>
    </row>
    <row r="5">
      <c r="A5" t="inlineStr">
        <is>
          <t>Trellis Logistics (TRLS)</t>
        </is>
      </c>
      <c r="B5" t="n">
        <v>8.800000000000001</v>
      </c>
      <c r="C5" t="n">
        <v>17.6</v>
      </c>
      <c r="D5" t="n">
        <v>0.005</v>
      </c>
    </row>
    <row r="6">
      <c r="A6" t="inlineStr">
        <is>
          <t>Carrow Freight</t>
        </is>
      </c>
      <c r="B6" t="n">
        <v>7.2</v>
      </c>
      <c r="C6" t="n">
        <v>13.9</v>
      </c>
      <c r="D6" t="n">
        <v>0.012</v>
      </c>
    </row>
    <row r="7">
      <c r="A7" t="inlineStr">
        <is>
          <t>Union Lane Transport</t>
        </is>
      </c>
      <c r="B7" t="n">
        <v>7.5</v>
      </c>
      <c r="C7" t="n">
        <v>14.4</v>
      </c>
      <c r="D7" t="n">
        <v>0.008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2026-09-12T15:19:36Z</dcterms:created>
  <dcterms:modified xmlns:dcterms="http://purl.org/dc/terms/" xmlns:xsi="http://www.w3.org/2001/XMLSchema-instance" xsi:type="dcterms:W3CDTF">2026-09-12T15:19:36Z</dcterms:modified>
</cp:coreProperties>
</file>