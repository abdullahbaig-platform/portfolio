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 Structure" sheetId="1" state="visible" r:id="rId1"/>
    <sheet xmlns:r="http://schemas.openxmlformats.org/officeDocument/2006/relationships" name="Recovery Waterfa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808080"/>
      <sz val="9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1F22"/>
        <bgColor rgb="001F1F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2" customWidth="1" min="3" max="3"/>
  </cols>
  <sheetData>
    <row r="1">
      <c r="A1" s="1" t="inlineStr">
        <is>
          <t>Ashford Retail Group — Capital Structure &amp; Recovery</t>
        </is>
      </c>
    </row>
    <row r="2">
      <c r="A2" s="2" t="inlineStr">
        <is>
          <t>EXAMPLE / PLACEHOLDER — illustrative figures only, not real analysis.</t>
        </is>
      </c>
    </row>
    <row r="4">
      <c r="A4" s="3" t="inlineStr">
        <is>
          <t>Tranche</t>
        </is>
      </c>
      <c r="B4" s="3" t="inlineStr">
        <is>
          <t>Amount ($m)</t>
        </is>
      </c>
      <c r="C4" s="3" t="inlineStr">
        <is>
          <t>x EBITDA</t>
        </is>
      </c>
    </row>
    <row r="5">
      <c r="A5" t="inlineStr">
        <is>
          <t>ABL revolver (undrawn capacity)</t>
        </is>
      </c>
      <c r="B5" t="n">
        <v>120</v>
      </c>
      <c r="C5">
        <f>SUM($B$5:B5)/225</f>
        <v/>
      </c>
    </row>
    <row r="6">
      <c r="A6" t="inlineStr">
        <is>
          <t>First-lien term loan</t>
        </is>
      </c>
      <c r="B6" t="n">
        <v>680</v>
      </c>
      <c r="C6">
        <f>SUM($B$5:B6)/225</f>
        <v/>
      </c>
    </row>
    <row r="7">
      <c r="A7" t="inlineStr">
        <is>
          <t>Second-lien notes</t>
        </is>
      </c>
      <c r="B7" t="n">
        <v>310</v>
      </c>
      <c r="C7">
        <f>SUM($B$5:B7)/225</f>
        <v/>
      </c>
    </row>
    <row r="8">
      <c r="A8" t="inlineStr">
        <is>
          <t>Unsecured notes</t>
        </is>
      </c>
      <c r="B8" t="n">
        <v>250</v>
      </c>
      <c r="C8">
        <f>SUM($B$5:B8)/225</f>
        <v/>
      </c>
    </row>
    <row r="9">
      <c r="A9" s="4" t="inlineStr">
        <is>
          <t>Total debt</t>
        </is>
      </c>
      <c r="B9">
        <f>SUM(B5:B8)</f>
        <v/>
      </c>
      <c r="C9">
        <f>B9/225</f>
        <v/>
      </c>
    </row>
    <row r="11">
      <c r="A11" t="inlineStr">
        <is>
          <t>LTM EBITDA ($m)</t>
        </is>
      </c>
      <c r="B11" t="n">
        <v>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Recovery waterfall</t>
        </is>
      </c>
    </row>
    <row r="2">
      <c r="A2" s="2" t="inlineStr">
        <is>
          <t>EXAMPLE / PLACEHOLDER</t>
        </is>
      </c>
    </row>
    <row r="4">
      <c r="A4" s="3" t="inlineStr">
        <is>
          <t>Scenario</t>
        </is>
      </c>
      <c r="B4" s="3" t="inlineStr">
        <is>
          <t>Implied EV ($m)</t>
        </is>
      </c>
      <c r="C4" s="3" t="inlineStr">
        <is>
          <t>ABL</t>
        </is>
      </c>
      <c r="D4" s="3" t="inlineStr">
        <is>
          <t>1st lien</t>
        </is>
      </c>
      <c r="E4" s="3" t="inlineStr">
        <is>
          <t>2nd lien</t>
        </is>
      </c>
      <c r="F4" s="3" t="inlineStr">
        <is>
          <t>Unsecured</t>
        </is>
      </c>
    </row>
    <row r="5">
      <c r="A5" t="inlineStr">
        <is>
          <t>Going-concern reorg</t>
        </is>
      </c>
      <c r="B5" t="n">
        <v>810</v>
      </c>
      <c r="C5" t="inlineStr">
        <is>
          <t>100%</t>
        </is>
      </c>
      <c r="D5" t="inlineStr">
        <is>
          <t>100%</t>
        </is>
      </c>
      <c r="E5" t="inlineStr">
        <is>
          <t>35%</t>
        </is>
      </c>
      <c r="F5" t="inlineStr">
        <is>
          <t>0%</t>
        </is>
      </c>
    </row>
    <row r="6">
      <c r="A6" t="inlineStr">
        <is>
          <t>Liquidation</t>
        </is>
      </c>
      <c r="B6" t="n">
        <v>520</v>
      </c>
      <c r="C6" t="inlineStr">
        <is>
          <t>100%</t>
        </is>
      </c>
      <c r="D6" t="inlineStr">
        <is>
          <t>65%</t>
        </is>
      </c>
      <c r="E6" t="inlineStr">
        <is>
          <t>0%</t>
        </is>
      </c>
      <c r="F6" t="inlineStr">
        <is>
          <t>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2026-09-12T15:19:36Z</dcterms:created>
  <dcterms:modified xmlns:dcterms="http://purl.org/dc/terms/" xmlns:xsi="http://www.w3.org/2001/XMLSchema-instance" xsi:type="dcterms:W3CDTF">2026-09-12T15:19:36Z</dcterms:modified>
</cp:coreProperties>
</file>